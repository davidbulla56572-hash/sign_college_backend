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huan\Downloads\"/>
    </mc:Choice>
  </mc:AlternateContent>
  <bookViews>
    <workbookView xWindow="0" yWindow="0" windowWidth="20490" windowHeight="7005" tabRatio="500"/>
  </bookViews>
  <sheets>
    <sheet name="Registro ágil de riesgos" sheetId="1" r:id="rId1"/>
    <sheet name="Escala" sheetId="2" r:id="rId2"/>
  </sheets>
  <definedNames>
    <definedName name="_xlnm.Print_Area" localSheetId="0">'Registro ágil de riesgos'!$B$2:$K$24</definedName>
    <definedName name="REASSESSMENT_DATE" localSheetId="1">#REF!</definedName>
    <definedName name="REASSESSMENT_DATE">'Registro ágil de riesgos'!$L$11:$L$24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4" i="1" l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</calcChain>
</file>

<file path=xl/sharedStrings.xml><?xml version="1.0" encoding="utf-8"?>
<sst xmlns="http://schemas.openxmlformats.org/spreadsheetml/2006/main" count="119" uniqueCount="95">
  <si>
    <t>PLANTILLA DE REGISTRO DE RIESGOS ÁGIL</t>
  </si>
  <si>
    <t>GRUPO</t>
  </si>
  <si>
    <t>GERENTE DE PROYECTO (PM, SM)</t>
  </si>
  <si>
    <t>FECHA 
DE LA ÚLTIMA ACTUALIZACIÓN</t>
  </si>
  <si>
    <t>IDENTIFICACIÓN DE RIESGO NO.</t>
  </si>
  <si>
    <t>CLASE DE RIESGO</t>
  </si>
  <si>
    <t>DESCRIPCIÓN DEL RIESGO</t>
  </si>
  <si>
    <t>DESCRIPCIÓN DEL IMPACTO</t>
  </si>
  <si>
    <t>IMPACTO 
NIVEL</t>
  </si>
  <si>
    <t>NIVEL DE PROBABILIDAD</t>
  </si>
  <si>
    <t>NIVEL DE PRIORIDAD</t>
  </si>
  <si>
    <t>ESTRATEGIA DE MITIGACIÓN</t>
  </si>
  <si>
    <t>ACCIÓN</t>
  </si>
  <si>
    <t>DUEÑO</t>
  </si>
  <si>
    <t>FECHA DE REEVALUACIÓN</t>
  </si>
  <si>
    <t>LLAVES</t>
  </si>
  <si>
    <t>Elija en el menú desplegable.</t>
  </si>
  <si>
    <t>dar un breve resumen del riesgo.</t>
  </si>
  <si>
    <t>¿Qué sucederá si el riesgo no se mitiga o elimina?</t>
  </si>
  <si>
    <t>Tasa 
1 (BAJO) a 
5 (ALTO)</t>
  </si>
  <si>
    <t xml:space="preserve">(IMPACTO X PROBABILIDAD)
Dirígete primero al más alto. </t>
  </si>
  <si>
    <t>¿Qué se puede hacer para reducir o eliminar el impacto o la probabilidad?</t>
  </si>
  <si>
    <t>¿Quién es el responsable?</t>
  </si>
  <si>
    <t>00/00/0000</t>
  </si>
  <si>
    <t>NIVEL</t>
  </si>
  <si>
    <t>R01</t>
  </si>
  <si>
    <t>Seguridad</t>
  </si>
  <si>
    <t>Exposición de datos personales sensibles (cédula, correo, teléfono) de los aspirantes por falta de cifrado en tránsito o en reposo</t>
  </si>
  <si>
    <t>Violación de la ley de protección de datos (Ley 1581), sanciones legales y pérdida de confianza institucional</t>
  </si>
  <si>
    <t>Implementar HTTPS/TLS, cifrado de datos en BD, hashing de contraseñas con bcrypt y auditorías de seguridad periódicas</t>
  </si>
  <si>
    <t>Mitigar</t>
  </si>
  <si>
    <t>Líder de Seguridad / DevOps</t>
  </si>
  <si>
    <t>Solución</t>
  </si>
  <si>
    <t>Evitar</t>
  </si>
  <si>
    <t>R02</t>
  </si>
  <si>
    <t>Tecnológico</t>
  </si>
  <si>
    <t>Fallo o indisponibilidad del servicio de IA que extrae información de la hoja de vida (PDF/DOCX) en la etapa de carga</t>
  </si>
  <si>
    <t>Los aspirantes no pueden completar su postulación, generando retrasos en el proceso de convocatoria</t>
  </si>
  <si>
    <t>Implementar modo manual como alternativa ("Ingresar datos manualmente"), monitoreo del servicio de IA y reintentos automáticos</t>
  </si>
  <si>
    <t>Líder de Desarrollo</t>
  </si>
  <si>
    <t>Línea de tiempo</t>
  </si>
  <si>
    <t>Explotar</t>
  </si>
  <si>
    <t>R03</t>
  </si>
  <si>
    <t>Alcance</t>
  </si>
  <si>
    <t>El formulario de registro no cubre todos los campos requeridos por la normativa interna de la Universidad para evaluar aspirantes</t>
  </si>
  <si>
    <t>Postulaciones incompletas o rechazo masivo de candidatos, obligando a reformular el sistema</t>
  </si>
  <si>
    <t>Validar el formulario con la Vicerrectoría Académica antes del desarrollo; realizar revisiones legales del reglamento docente</t>
  </si>
  <si>
    <t>Analista de Requisitos / PM</t>
  </si>
  <si>
    <t>Presupuesto</t>
  </si>
  <si>
    <t>Transferir / Compartir</t>
  </si>
  <si>
    <t>R04</t>
  </si>
  <si>
    <t>Estimación</t>
  </si>
  <si>
    <t>Subestimación del tiempo necesario para desarrollar el módulo de cálculo automático de puntajes por categoría (formación, experiencia, producción, etc.)</t>
  </si>
  <si>
    <t>Retraso en la entrega del sistema, afectando los plazos de la convocatoria 205</t>
  </si>
  <si>
    <t>Desglosar el módulo de puntuación en historias de usuario pequeñas, hacer estimaciones con Planning Poker y reservar buffer del 20%</t>
  </si>
  <si>
    <t>Scrum Master / Equipo de Desarrollo</t>
  </si>
  <si>
    <t>Legislativo</t>
  </si>
  <si>
    <t>R05</t>
  </si>
  <si>
    <t>Desarrollo</t>
  </si>
  <si>
    <t>Errores en el motor de reglas de puntuación (cálculo de prioridad en ranking) que otorguen puntajes incorrectos a los aspirantes</t>
  </si>
  <si>
    <t>Resultados injustos en el ranking, posibles impugnaciones legales y pérdida de credibilidad del proceso</t>
  </si>
  <si>
    <t>Desarrollar pruebas unitarias y de integración para el motor de reglas; validar casos de prueba con la Vicerrectoría Académica antes de producción</t>
  </si>
  <si>
    <t>QA / Líder de Desarrollo</t>
  </si>
  <si>
    <t>Aceptar sin ninguna acción</t>
  </si>
  <si>
    <t>R06</t>
  </si>
  <si>
    <t>Recursos</t>
  </si>
  <si>
    <t>Disponibilidad limitada del equipo de desarrollo durante el período de convocatoria por compromisos académicos simultáneos</t>
  </si>
  <si>
    <t>Reducción de la velocidad de entrega de sprints, posponiendo funcionalidades críticas del sistema</t>
  </si>
  <si>
    <t>Definir dedicación mínima por sprint desde el inicio, documentar todas las funcionalidades para facilitar el onboarding de reemplazos</t>
  </si>
  <si>
    <t>PM / Scrum Master</t>
  </si>
  <si>
    <t>R07</t>
  </si>
  <si>
    <t>La fecha de cierre de la convocatoria 205 Plazas Docentes 2024 coincide con etapas críticas de desarrollo y pruebas del sistema</t>
  </si>
  <si>
    <t>El sistema no estará listo antes de que cierre la convocatoria, inutilizando el producto en su primer uso real</t>
  </si>
  <si>
    <t>Priorizar MVP con funcionalidades esenciales (registro, carga HV, puntuación básica), diferir mejoras no críticas a versiones posteriores</t>
  </si>
  <si>
    <t>PM</t>
  </si>
  <si>
    <t>R08</t>
  </si>
  <si>
    <t>Costos no previstos por uso de servicios cloud (almacenamiento de documentos PDF/DOCX, API de IA para extracción de datos) que superen el presupuesto asignado</t>
  </si>
  <si>
    <t>Suspensión del servicio de IA o almacenamiento, bloqueando el flujo de postulación de aspirantes</t>
  </si>
  <si>
    <t>Definir límites de uso y alertas de consumo en el proveedor cloud, evaluar alternativas open source para extracción de texto de documentos</t>
  </si>
  <si>
    <t>Líder de Infraestructura / PM</t>
  </si>
  <si>
    <t>R09</t>
  </si>
  <si>
    <t>Cambios en la normativa colombiana de contratación docente (Decreto 1279 o estatuto docente) que modifiquen los criterios de evaluación durante el desarrollo</t>
  </si>
  <si>
    <t>Necesidad de rediseñar el motor de puntuación y los formularios ya desarrollados, generando retrabajo significativo</t>
  </si>
  <si>
    <t>Diseñar el motor de reglas de puntuación de forma configurable (sin hardcodear valores); monitorear cambios normativos con asesoría jurídica</t>
  </si>
  <si>
    <t>Analista Legal / PM</t>
  </si>
  <si>
    <t>R10</t>
  </si>
  <si>
    <t>Baja adopción del sistema por parte de aspirantes docentes no familiarizados con plataformas digitales de postulación</t>
  </si>
  <si>
    <t>Alta tasa de abandono del formulario, postulaciones incompletas y aumento de consultas al equipo de soporte</t>
  </si>
  <si>
    <t>Diseñar UX/UI intuitivo basado en el mockup aprobado, crear guía de usuario en video, habilitar opción de ingreso manual como alternativa</t>
  </si>
  <si>
    <t>Diseñador UX / Líder de Proyecto</t>
  </si>
  <si>
    <t>ESCALA DE REGISTRO DE RIESGOS</t>
  </si>
  <si>
    <t>P R O B A B I L I T Y</t>
  </si>
  <si>
    <t>I M P A C T</t>
  </si>
  <si>
    <t>David Santiago Bulla - Maria Paz Martinez - Juan Esteban Ospina</t>
  </si>
  <si>
    <t>Scrum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</si>
</sst>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800]dddd&quot;, &quot;mmmm\ dd&quot;, &quot;yyyy"/>
    <numFmt numFmtId="165" formatCode="yyyy\-mm\-dd\ h:mm:ss"/>
    <numFmt numFmtId="166" formatCode="mm/dd/yyyy"/>
  </numFmts>
  <fonts count="15" x14ac:knownFonts="1"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0"/>
      <color theme="1"/>
      <name val="Century Gothic"/>
      <family val="1"/>
      <charset val="1"/>
    </font>
    <font>
      <b/>
      <sz val="20"/>
      <color theme="1" tint="0.3498947111423078"/>
      <name val="Century Gothic"/>
      <family val="1"/>
      <charset val="1"/>
    </font>
    <font>
      <b/>
      <sz val="9"/>
      <color rgb="FF000000"/>
      <name val="Century Gothic"/>
      <family val="1"/>
      <charset val="1"/>
    </font>
    <font>
      <sz val="12"/>
      <color theme="1"/>
      <name val="Century Gothic"/>
      <family val="1"/>
      <charset val="1"/>
    </font>
    <font>
      <sz val="14"/>
      <color theme="1"/>
      <name val="Century Gothic"/>
      <family val="1"/>
      <charset val="1"/>
    </font>
    <font>
      <sz val="12"/>
      <color rgb="FF000000"/>
      <name val="Century Gothic"/>
      <family val="1"/>
      <charset val="1"/>
    </font>
    <font>
      <sz val="9"/>
      <color rgb="FF000000"/>
      <name val="Century Gothic"/>
      <family val="1"/>
      <charset val="1"/>
    </font>
    <font>
      <sz val="11"/>
      <color rgb="FF000000"/>
      <name val="Century Gothic"/>
      <family val="1"/>
      <charset val="1"/>
    </font>
    <font>
      <b/>
      <sz val="12"/>
      <color theme="1"/>
      <name val="Century Gothic"/>
      <family val="1"/>
      <charset val="1"/>
    </font>
    <font>
      <sz val="11"/>
      <color theme="1"/>
      <name val="Century Gothic"/>
      <family val="1"/>
      <charset val="1"/>
    </font>
    <font>
      <sz val="18"/>
      <color theme="1" tint="0.3498947111423078"/>
      <name val="Century Gothic"/>
      <family val="1"/>
      <charset val="1"/>
    </font>
    <font>
      <b/>
      <sz val="14"/>
      <color theme="1"/>
      <name val="Century Gothic"/>
      <family val="1"/>
      <charset val="1"/>
    </font>
    <font>
      <sz val="16"/>
      <color theme="1"/>
      <name val="Century Gothic"/>
      <family val="1"/>
      <charset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F5F7FA"/>
      </patternFill>
    </fill>
    <fill>
      <patternFill patternType="solid">
        <fgColor theme="3" tint="0.79989013336588644"/>
        <bgColor rgb="FFD9D9D9"/>
      </patternFill>
    </fill>
    <fill>
      <patternFill patternType="solid">
        <fgColor rgb="FFEAEEF3"/>
        <bgColor rgb="FFF2F2F2"/>
      </patternFill>
    </fill>
    <fill>
      <patternFill patternType="solid">
        <fgColor theme="0" tint="-4.9989318521683403E-2"/>
        <bgColor rgb="FFF5F7FA"/>
      </patternFill>
    </fill>
    <fill>
      <patternFill patternType="solid">
        <fgColor rgb="FFF5F7FA"/>
        <bgColor rgb="FFF2F2F2"/>
      </patternFill>
    </fill>
    <fill>
      <patternFill patternType="solid">
        <fgColor rgb="FFE5E5E5"/>
        <bgColor rgb="FFEAEEF3"/>
      </patternFill>
    </fill>
    <fill>
      <patternFill patternType="solid">
        <fgColor rgb="FFBCE659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9C0006"/>
      </patternFill>
    </fill>
    <fill>
      <patternFill patternType="solid">
        <fgColor theme="0" tint="-0.14999847407452621"/>
        <bgColor rgb="FFD6DCE5"/>
      </patternFill>
    </fill>
  </fills>
  <borders count="2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hair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hair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hair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hair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/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13" fillId="0" borderId="25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 textRotation="90"/>
    </xf>
    <xf numFmtId="0" fontId="5" fillId="0" borderId="1" xfId="0" applyFont="1" applyBorder="1" applyAlignment="1">
      <alignment horizontal="left" vertical="center" wrapText="1" inden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 indent="1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5" fontId="6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4" fillId="3" borderId="3" xfId="0" applyFont="1" applyFill="1" applyBorder="1" applyAlignment="1">
      <alignment horizontal="left" vertical="center" wrapText="1" indent="1"/>
    </xf>
    <xf numFmtId="0" fontId="4" fillId="3" borderId="4" xfId="0" applyFont="1" applyFill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wrapText="1" indent="1"/>
    </xf>
    <xf numFmtId="0" fontId="0" fillId="0" borderId="2" xfId="0" applyBorder="1"/>
    <xf numFmtId="0" fontId="8" fillId="4" borderId="5" xfId="0" applyFont="1" applyFill="1" applyBorder="1" applyAlignment="1">
      <alignment horizontal="left" vertical="center" wrapText="1" indent="1"/>
    </xf>
    <xf numFmtId="0" fontId="8" fillId="4" borderId="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7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166" fontId="2" fillId="0" borderId="8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indent="1"/>
    </xf>
    <xf numFmtId="0" fontId="11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left" vertical="center" wrapText="1" indent="1"/>
    </xf>
    <xf numFmtId="0" fontId="2" fillId="0" borderId="10" xfId="0" applyFont="1" applyBorder="1" applyAlignment="1">
      <alignment horizontal="left" vertical="center" indent="1"/>
    </xf>
    <xf numFmtId="0" fontId="5" fillId="0" borderId="9" xfId="0" applyFont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166" fontId="2" fillId="0" borderId="11" xfId="0" applyNumberFormat="1" applyFont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 indent="1"/>
    </xf>
    <xf numFmtId="0" fontId="5" fillId="6" borderId="9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166" fontId="2" fillId="6" borderId="1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 indent="1"/>
    </xf>
    <xf numFmtId="0" fontId="5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166" fontId="2" fillId="6" borderId="12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14" fillId="5" borderId="13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/>
    </xf>
    <xf numFmtId="0" fontId="14" fillId="9" borderId="15" xfId="0" applyFont="1" applyFill="1" applyBorder="1" applyAlignment="1">
      <alignment horizontal="center" vertical="center"/>
    </xf>
    <xf numFmtId="0" fontId="14" fillId="10" borderId="15" xfId="0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0" fontId="14" fillId="8" borderId="18" xfId="0" applyFont="1" applyFill="1" applyBorder="1" applyAlignment="1">
      <alignment horizontal="center" vertical="center"/>
    </xf>
    <xf numFmtId="0" fontId="14" fillId="9" borderId="9" xfId="0" applyFont="1" applyFill="1" applyBorder="1" applyAlignment="1">
      <alignment horizontal="center" vertical="center"/>
    </xf>
    <xf numFmtId="0" fontId="14" fillId="10" borderId="9" xfId="0" applyFont="1" applyFill="1" applyBorder="1" applyAlignment="1">
      <alignment horizontal="center" vertical="center"/>
    </xf>
    <xf numFmtId="0" fontId="14" fillId="10" borderId="11" xfId="0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center" vertical="center"/>
    </xf>
    <xf numFmtId="0" fontId="14" fillId="9" borderId="11" xfId="0" applyFont="1" applyFill="1" applyBorder="1" applyAlignment="1">
      <alignment horizontal="center" vertical="center"/>
    </xf>
    <xf numFmtId="0" fontId="14" fillId="5" borderId="19" xfId="0" applyFont="1" applyFill="1" applyBorder="1" applyAlignment="1">
      <alignment horizontal="center" vertical="center"/>
    </xf>
    <xf numFmtId="0" fontId="14" fillId="8" borderId="20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0" fontId="14" fillId="5" borderId="23" xfId="0" applyFont="1" applyFill="1" applyBorder="1" applyAlignment="1">
      <alignment horizontal="center" vertical="center"/>
    </xf>
    <xf numFmtId="0" fontId="14" fillId="5" borderId="2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 indent="1"/>
    </xf>
    <xf numFmtId="164" fontId="5" fillId="0" borderId="1" xfId="0" applyNumberFormat="1" applyFont="1" applyBorder="1" applyAlignment="1">
      <alignment horizontal="left" vertical="center" wrapText="1" indent="1"/>
    </xf>
  </cellXfs>
  <cellStyles count="2">
    <cellStyle name="Normal" xfId="0" builtinId="0"/>
    <cellStyle name="Normal 2" xfId="1"/>
  </cellStyles>
  <dxfs count="6">
    <dxf>
      <font>
        <color rgb="FF9C0006"/>
      </font>
      <fill>
        <patternFill>
          <bgColor rgb="FFFFC7CE"/>
        </patternFill>
      </fill>
    </dxf>
    <dxf>
      <font>
        <sz val="12"/>
        <color rgb="FF000000"/>
        <name val="Calibri"/>
      </font>
      <alignment horizontal="general" vertical="bottom" textRotation="0" wrapText="0" indent="0" shrinkToFit="0"/>
    </dxf>
    <dxf>
      <fill>
        <patternFill>
          <bgColor rgb="FFBCE65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F7FA"/>
      <rgbColor rgb="FFEAEEF3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5E5E5"/>
      <rgbColor rgb="FFD9D9D9"/>
      <rgbColor rgb="FFADB9CA"/>
      <rgbColor rgb="FFFF99CC"/>
      <rgbColor rgb="FFCC99FF"/>
      <rgbColor rgb="FFFFC7CE"/>
      <rgbColor rgb="FF3366FF"/>
      <rgbColor rgb="FF33CCCC"/>
      <rgbColor rgb="FFBCE659"/>
      <rgbColor rgb="FFFFC000"/>
      <rgbColor rgb="FFFF9900"/>
      <rgbColor rgb="FFFF6600"/>
      <rgbColor rgb="FF59595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7B0"/>
    <pageSetUpPr fitToPage="1"/>
  </sheetPr>
  <dimension ref="B1:R24"/>
  <sheetViews>
    <sheetView showGridLines="0" tabSelected="1" zoomScaleNormal="100" workbookViewId="0">
      <pane ySplit="1" topLeftCell="A2" activePane="bottomLeft" state="frozen"/>
      <selection pane="bottomLeft" activeCell="C5" sqref="C5:E5"/>
    </sheetView>
  </sheetViews>
  <sheetFormatPr baseColWidth="10" defaultColWidth="11" defaultRowHeight="15.75" x14ac:dyDescent="0.25"/>
  <cols>
    <col min="1" max="1" width="3.375" customWidth="1"/>
    <col min="2" max="2" width="15" style="4" customWidth="1"/>
    <col min="3" max="3" width="13.875" style="5" customWidth="1"/>
    <col min="4" max="4" width="22.875" style="4" customWidth="1"/>
    <col min="5" max="5" width="22.875" style="5" customWidth="1"/>
    <col min="6" max="6" width="12.875" style="4" customWidth="1"/>
    <col min="7" max="7" width="12.875" style="6" customWidth="1"/>
    <col min="8" max="8" width="18.125" style="5" customWidth="1"/>
    <col min="9" max="9" width="22.875" style="6" customWidth="1"/>
    <col min="10" max="10" width="12.875" style="6" customWidth="1"/>
    <col min="11" max="11" width="18.875" style="6" customWidth="1"/>
    <col min="12" max="12" width="14.875" style="6" customWidth="1"/>
    <col min="13" max="13" width="3.375" customWidth="1"/>
    <col min="14" max="14" width="13.875" customWidth="1"/>
    <col min="15" max="15" width="3.375" customWidth="1"/>
    <col min="16" max="16" width="11.875" customWidth="1"/>
    <col min="17" max="17" width="3.375" customWidth="1"/>
    <col min="18" max="18" width="12.875" customWidth="1"/>
    <col min="19" max="19" width="3.375" customWidth="1"/>
  </cols>
  <sheetData>
    <row r="1" spans="2:18" ht="49.5" customHeight="1" x14ac:dyDescent="0.25"/>
    <row r="2" spans="2:18" s="7" customFormat="1" ht="42" customHeight="1" x14ac:dyDescent="0.25">
      <c r="B2" s="8" t="s">
        <v>0</v>
      </c>
      <c r="D2" s="9"/>
      <c r="F2" s="9"/>
      <c r="G2" s="9"/>
      <c r="I2" s="9"/>
      <c r="J2" s="9"/>
      <c r="K2" s="9"/>
      <c r="L2" s="9"/>
    </row>
    <row r="3" spans="2:18" ht="48" customHeight="1" x14ac:dyDescent="0.25">
      <c r="B3" s="10" t="s">
        <v>1</v>
      </c>
      <c r="C3" s="3" t="s">
        <v>93</v>
      </c>
      <c r="D3" s="3"/>
      <c r="E3" s="3"/>
      <c r="F3" s="11"/>
      <c r="G3" s="11"/>
      <c r="H3" s="11"/>
      <c r="I3" s="11"/>
      <c r="J3" s="11"/>
      <c r="K3" s="11"/>
      <c r="L3" s="11"/>
    </row>
    <row r="4" spans="2:18" ht="18" customHeight="1" x14ac:dyDescent="0.25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2:18" ht="45" customHeight="1" x14ac:dyDescent="0.25">
      <c r="B5" s="10" t="s">
        <v>2</v>
      </c>
      <c r="C5" s="65" t="s">
        <v>94</v>
      </c>
      <c r="D5" s="65"/>
      <c r="E5" s="65"/>
      <c r="F5" s="11"/>
      <c r="G5" s="11"/>
      <c r="H5" s="11"/>
      <c r="I5" s="11"/>
      <c r="J5" s="11"/>
      <c r="K5" s="11"/>
      <c r="L5" s="11"/>
    </row>
    <row r="6" spans="2:18" ht="18" customHeight="1" x14ac:dyDescent="0.25">
      <c r="B6" s="11"/>
      <c r="C6" s="12"/>
      <c r="D6" s="12"/>
      <c r="E6" s="12"/>
      <c r="F6" s="11"/>
      <c r="G6" s="11"/>
      <c r="H6" s="11"/>
      <c r="I6" s="11"/>
      <c r="J6" s="11"/>
      <c r="K6" s="11"/>
      <c r="L6" s="11"/>
    </row>
    <row r="7" spans="2:18" ht="55.5" customHeight="1" x14ac:dyDescent="0.25">
      <c r="B7" s="10" t="s">
        <v>3</v>
      </c>
      <c r="C7" s="66">
        <v>46161</v>
      </c>
      <c r="D7" s="66"/>
      <c r="E7" s="66"/>
      <c r="F7" s="11"/>
      <c r="G7" s="11"/>
      <c r="H7" s="11"/>
      <c r="I7" s="11"/>
      <c r="J7" s="11"/>
      <c r="K7" s="11"/>
      <c r="L7" s="11"/>
    </row>
    <row r="8" spans="2:18" ht="18" customHeight="1" x14ac:dyDescent="0.25"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2:18" ht="49.5" customHeight="1" x14ac:dyDescent="0.3">
      <c r="B9" s="15" t="s">
        <v>4</v>
      </c>
      <c r="C9" s="15" t="s">
        <v>5</v>
      </c>
      <c r="D9" s="15" t="s">
        <v>6</v>
      </c>
      <c r="E9" s="15" t="s">
        <v>7</v>
      </c>
      <c r="F9" s="15" t="s">
        <v>8</v>
      </c>
      <c r="G9" s="15" t="s">
        <v>9</v>
      </c>
      <c r="H9" s="15" t="s">
        <v>10</v>
      </c>
      <c r="I9" s="15" t="s">
        <v>11</v>
      </c>
      <c r="J9" s="15" t="s">
        <v>12</v>
      </c>
      <c r="K9" s="15" t="s">
        <v>13</v>
      </c>
      <c r="L9" s="16" t="s">
        <v>14</v>
      </c>
      <c r="N9" s="17" t="s">
        <v>15</v>
      </c>
      <c r="O9" s="18"/>
      <c r="P9" s="17"/>
      <c r="Q9" s="18"/>
      <c r="R9" s="17"/>
    </row>
    <row r="10" spans="2:18" ht="60" customHeight="1" x14ac:dyDescent="0.3">
      <c r="B10" s="19"/>
      <c r="C10" s="19" t="s">
        <v>16</v>
      </c>
      <c r="D10" s="19" t="s">
        <v>17</v>
      </c>
      <c r="E10" s="19" t="s">
        <v>18</v>
      </c>
      <c r="F10" s="19" t="s">
        <v>19</v>
      </c>
      <c r="G10" s="19" t="s">
        <v>19</v>
      </c>
      <c r="H10" s="19" t="s">
        <v>20</v>
      </c>
      <c r="I10" s="19" t="s">
        <v>21</v>
      </c>
      <c r="J10" s="19" t="s">
        <v>16</v>
      </c>
      <c r="K10" s="19" t="s">
        <v>22</v>
      </c>
      <c r="L10" s="20" t="s">
        <v>23</v>
      </c>
      <c r="N10" s="21" t="s">
        <v>5</v>
      </c>
      <c r="P10" s="22" t="s">
        <v>24</v>
      </c>
      <c r="Q10" s="23"/>
      <c r="R10" s="21" t="s">
        <v>12</v>
      </c>
    </row>
    <row r="11" spans="2:18" ht="94.5" x14ac:dyDescent="0.25">
      <c r="B11" s="24" t="s">
        <v>25</v>
      </c>
      <c r="C11" s="24" t="s">
        <v>26</v>
      </c>
      <c r="D11" s="24" t="s">
        <v>27</v>
      </c>
      <c r="E11" s="24" t="s">
        <v>28</v>
      </c>
      <c r="F11" s="25">
        <v>5</v>
      </c>
      <c r="G11" s="25">
        <v>3</v>
      </c>
      <c r="H11" s="26">
        <f t="shared" ref="H11:H24" si="0">IF(F11*G11=0,"",F11*G11)</f>
        <v>15</v>
      </c>
      <c r="I11" s="24" t="s">
        <v>29</v>
      </c>
      <c r="J11" s="24" t="s">
        <v>30</v>
      </c>
      <c r="K11" s="24" t="s">
        <v>31</v>
      </c>
      <c r="L11" s="27">
        <v>46192</v>
      </c>
      <c r="N11" s="28" t="s">
        <v>32</v>
      </c>
      <c r="P11" s="29">
        <v>1</v>
      </c>
      <c r="Q11" s="30"/>
      <c r="R11" s="31" t="s">
        <v>33</v>
      </c>
    </row>
    <row r="12" spans="2:18" ht="94.5" x14ac:dyDescent="0.25">
      <c r="B12" s="24" t="s">
        <v>34</v>
      </c>
      <c r="C12" s="24" t="s">
        <v>35</v>
      </c>
      <c r="D12" s="24" t="s">
        <v>36</v>
      </c>
      <c r="E12" s="24" t="s">
        <v>37</v>
      </c>
      <c r="F12" s="25">
        <v>4</v>
      </c>
      <c r="G12" s="25">
        <v>3</v>
      </c>
      <c r="H12" s="26">
        <f t="shared" si="0"/>
        <v>12</v>
      </c>
      <c r="I12" s="24" t="s">
        <v>38</v>
      </c>
      <c r="J12" s="24" t="s">
        <v>30</v>
      </c>
      <c r="K12" s="24" t="s">
        <v>39</v>
      </c>
      <c r="L12" s="27">
        <v>46192</v>
      </c>
      <c r="N12" s="28" t="s">
        <v>40</v>
      </c>
      <c r="P12" s="29">
        <v>2</v>
      </c>
      <c r="Q12" s="30"/>
      <c r="R12" s="31" t="s">
        <v>41</v>
      </c>
    </row>
    <row r="13" spans="2:18" ht="81" x14ac:dyDescent="0.25">
      <c r="B13" s="24" t="s">
        <v>42</v>
      </c>
      <c r="C13" s="24" t="s">
        <v>43</v>
      </c>
      <c r="D13" s="24" t="s">
        <v>44</v>
      </c>
      <c r="E13" s="24" t="s">
        <v>45</v>
      </c>
      <c r="F13" s="25">
        <v>4</v>
      </c>
      <c r="G13" s="25">
        <v>2</v>
      </c>
      <c r="H13" s="26">
        <f t="shared" si="0"/>
        <v>8</v>
      </c>
      <c r="I13" s="24" t="s">
        <v>46</v>
      </c>
      <c r="J13" s="24" t="s">
        <v>30</v>
      </c>
      <c r="K13" s="24" t="s">
        <v>47</v>
      </c>
      <c r="L13" s="27">
        <v>46178</v>
      </c>
      <c r="N13" s="28" t="s">
        <v>48</v>
      </c>
      <c r="P13" s="29">
        <v>3</v>
      </c>
      <c r="Q13" s="30"/>
      <c r="R13" s="31" t="s">
        <v>49</v>
      </c>
    </row>
    <row r="14" spans="2:18" ht="94.5" x14ac:dyDescent="0.25">
      <c r="B14" s="24" t="s">
        <v>50</v>
      </c>
      <c r="C14" s="24" t="s">
        <v>51</v>
      </c>
      <c r="D14" s="24" t="s">
        <v>52</v>
      </c>
      <c r="E14" s="24" t="s">
        <v>53</v>
      </c>
      <c r="F14" s="25">
        <v>3</v>
      </c>
      <c r="G14" s="25">
        <v>4</v>
      </c>
      <c r="H14" s="26">
        <f t="shared" si="0"/>
        <v>12</v>
      </c>
      <c r="I14" s="24" t="s">
        <v>54</v>
      </c>
      <c r="J14" s="24" t="s">
        <v>30</v>
      </c>
      <c r="K14" s="24" t="s">
        <v>55</v>
      </c>
      <c r="L14" s="27">
        <v>46172</v>
      </c>
      <c r="N14" s="28" t="s">
        <v>56</v>
      </c>
      <c r="P14" s="29">
        <v>4</v>
      </c>
      <c r="Q14" s="30"/>
      <c r="R14" s="31" t="s">
        <v>30</v>
      </c>
    </row>
    <row r="15" spans="2:18" ht="94.5" x14ac:dyDescent="0.25">
      <c r="B15" s="24" t="s">
        <v>57</v>
      </c>
      <c r="C15" s="24" t="s">
        <v>58</v>
      </c>
      <c r="D15" s="24" t="s">
        <v>59</v>
      </c>
      <c r="E15" s="24" t="s">
        <v>60</v>
      </c>
      <c r="F15" s="25">
        <v>5</v>
      </c>
      <c r="G15" s="25">
        <v>3</v>
      </c>
      <c r="H15" s="26">
        <f t="shared" si="0"/>
        <v>15</v>
      </c>
      <c r="I15" s="24" t="s">
        <v>61</v>
      </c>
      <c r="J15" s="24" t="s">
        <v>30</v>
      </c>
      <c r="K15" s="24" t="s">
        <v>62</v>
      </c>
      <c r="L15" s="27">
        <v>46185</v>
      </c>
      <c r="N15" s="28" t="s">
        <v>26</v>
      </c>
      <c r="P15" s="29">
        <v>5</v>
      </c>
      <c r="Q15" s="30"/>
      <c r="R15" s="31" t="s">
        <v>63</v>
      </c>
    </row>
    <row r="16" spans="2:18" ht="94.5" x14ac:dyDescent="0.25">
      <c r="B16" s="24" t="s">
        <v>64</v>
      </c>
      <c r="C16" s="24" t="s">
        <v>65</v>
      </c>
      <c r="D16" s="24" t="s">
        <v>66</v>
      </c>
      <c r="E16" s="24" t="s">
        <v>67</v>
      </c>
      <c r="F16" s="25">
        <v>3</v>
      </c>
      <c r="G16" s="25">
        <v>3</v>
      </c>
      <c r="H16" s="26">
        <f t="shared" si="0"/>
        <v>9</v>
      </c>
      <c r="I16" s="24" t="s">
        <v>68</v>
      </c>
      <c r="J16" s="24" t="s">
        <v>63</v>
      </c>
      <c r="K16" s="24" t="s">
        <v>69</v>
      </c>
      <c r="L16" s="27">
        <v>46178</v>
      </c>
      <c r="N16" s="28" t="s">
        <v>65</v>
      </c>
      <c r="R16" s="31"/>
    </row>
    <row r="17" spans="2:18" ht="94.5" x14ac:dyDescent="0.25">
      <c r="B17" s="24" t="s">
        <v>70</v>
      </c>
      <c r="C17" s="24" t="s">
        <v>40</v>
      </c>
      <c r="D17" s="24" t="s">
        <v>71</v>
      </c>
      <c r="E17" s="24" t="s">
        <v>72</v>
      </c>
      <c r="F17" s="25">
        <v>5</v>
      </c>
      <c r="G17" s="25">
        <v>2</v>
      </c>
      <c r="H17" s="26">
        <f t="shared" si="0"/>
        <v>10</v>
      </c>
      <c r="I17" s="24" t="s">
        <v>73</v>
      </c>
      <c r="J17" s="24" t="s">
        <v>30</v>
      </c>
      <c r="K17" s="24" t="s">
        <v>74</v>
      </c>
      <c r="L17" s="27">
        <v>46168</v>
      </c>
      <c r="N17" s="28" t="s">
        <v>43</v>
      </c>
      <c r="R17" s="28"/>
    </row>
    <row r="18" spans="2:18" ht="108" x14ac:dyDescent="0.25">
      <c r="B18" s="24" t="s">
        <v>75</v>
      </c>
      <c r="C18" s="24" t="s">
        <v>48</v>
      </c>
      <c r="D18" s="24" t="s">
        <v>76</v>
      </c>
      <c r="E18" s="24" t="s">
        <v>77</v>
      </c>
      <c r="F18" s="25">
        <v>3</v>
      </c>
      <c r="G18" s="25">
        <v>2</v>
      </c>
      <c r="H18" s="26">
        <f t="shared" si="0"/>
        <v>6</v>
      </c>
      <c r="I18" s="24" t="s">
        <v>78</v>
      </c>
      <c r="J18" s="24" t="s">
        <v>49</v>
      </c>
      <c r="K18" s="24" t="s">
        <v>79</v>
      </c>
      <c r="L18" s="27">
        <v>46192</v>
      </c>
      <c r="N18" s="31" t="s">
        <v>35</v>
      </c>
      <c r="R18" s="28"/>
    </row>
    <row r="19" spans="2:18" ht="108" x14ac:dyDescent="0.25">
      <c r="B19" s="24" t="s">
        <v>80</v>
      </c>
      <c r="C19" s="24" t="s">
        <v>56</v>
      </c>
      <c r="D19" s="24" t="s">
        <v>81</v>
      </c>
      <c r="E19" s="24" t="s">
        <v>82</v>
      </c>
      <c r="F19" s="25">
        <v>4</v>
      </c>
      <c r="G19" s="25">
        <v>2</v>
      </c>
      <c r="H19" s="26">
        <f t="shared" si="0"/>
        <v>8</v>
      </c>
      <c r="I19" s="24" t="s">
        <v>83</v>
      </c>
      <c r="J19" s="24" t="s">
        <v>30</v>
      </c>
      <c r="K19" s="24" t="s">
        <v>84</v>
      </c>
      <c r="L19" s="27">
        <v>46222</v>
      </c>
      <c r="N19" s="31" t="s">
        <v>58</v>
      </c>
      <c r="R19" s="28"/>
    </row>
    <row r="20" spans="2:18" ht="94.5" x14ac:dyDescent="0.25">
      <c r="B20" s="24" t="s">
        <v>85</v>
      </c>
      <c r="C20" s="24" t="s">
        <v>32</v>
      </c>
      <c r="D20" s="24" t="s">
        <v>86</v>
      </c>
      <c r="E20" s="24" t="s">
        <v>87</v>
      </c>
      <c r="F20" s="25">
        <v>3</v>
      </c>
      <c r="G20" s="25">
        <v>3</v>
      </c>
      <c r="H20" s="26">
        <f t="shared" si="0"/>
        <v>9</v>
      </c>
      <c r="I20" s="24" t="s">
        <v>88</v>
      </c>
      <c r="J20" s="24" t="s">
        <v>30</v>
      </c>
      <c r="K20" s="24" t="s">
        <v>89</v>
      </c>
      <c r="L20" s="27">
        <v>46178</v>
      </c>
      <c r="N20" s="32" t="s">
        <v>51</v>
      </c>
    </row>
    <row r="21" spans="2:18" ht="45" customHeight="1" x14ac:dyDescent="0.25">
      <c r="B21" s="31"/>
      <c r="C21" s="31"/>
      <c r="D21" s="31"/>
      <c r="E21" s="31"/>
      <c r="F21" s="33"/>
      <c r="G21" s="33"/>
      <c r="H21" s="34" t="str">
        <f t="shared" si="0"/>
        <v/>
      </c>
      <c r="I21" s="31"/>
      <c r="J21" s="31"/>
      <c r="K21" s="31"/>
      <c r="L21" s="35"/>
    </row>
    <row r="22" spans="2:18" ht="45" customHeight="1" x14ac:dyDescent="0.25">
      <c r="B22" s="36"/>
      <c r="C22" s="36"/>
      <c r="D22" s="36"/>
      <c r="E22" s="36"/>
      <c r="F22" s="37"/>
      <c r="G22" s="37"/>
      <c r="H22" s="38" t="str">
        <f t="shared" si="0"/>
        <v/>
      </c>
      <c r="I22" s="36"/>
      <c r="J22" s="36"/>
      <c r="K22" s="36"/>
      <c r="L22" s="39"/>
    </row>
    <row r="23" spans="2:18" ht="45" customHeight="1" x14ac:dyDescent="0.25">
      <c r="B23" s="31"/>
      <c r="C23" s="31"/>
      <c r="D23" s="31"/>
      <c r="E23" s="31"/>
      <c r="F23" s="33"/>
      <c r="G23" s="33"/>
      <c r="H23" s="34" t="str">
        <f t="shared" si="0"/>
        <v/>
      </c>
      <c r="I23" s="31"/>
      <c r="J23" s="31"/>
      <c r="K23" s="31"/>
      <c r="L23" s="35"/>
    </row>
    <row r="24" spans="2:18" ht="45" customHeight="1" x14ac:dyDescent="0.25">
      <c r="B24" s="40"/>
      <c r="C24" s="40"/>
      <c r="D24" s="40"/>
      <c r="E24" s="40"/>
      <c r="F24" s="41"/>
      <c r="G24" s="41"/>
      <c r="H24" s="42" t="str">
        <f t="shared" si="0"/>
        <v/>
      </c>
      <c r="I24" s="40"/>
      <c r="J24" s="40"/>
      <c r="K24" s="40"/>
      <c r="L24" s="43"/>
    </row>
  </sheetData>
  <mergeCells count="3">
    <mergeCell ref="C3:E3"/>
    <mergeCell ref="C5:E5"/>
    <mergeCell ref="C7:E7"/>
  </mergeCells>
  <conditionalFormatting sqref="H11:H24">
    <cfRule type="cellIs" dxfId="5" priority="2" operator="equal">
      <formula>25</formula>
    </cfRule>
    <cfRule type="cellIs" dxfId="4" priority="3" operator="between">
      <formula>15</formula>
      <formula>20</formula>
    </cfRule>
    <cfRule type="cellIs" dxfId="3" priority="4" operator="between">
      <formula>6</formula>
      <formula>12</formula>
    </cfRule>
    <cfRule type="cellIs" dxfId="2" priority="5" operator="between">
      <formula>1</formula>
      <formula>5</formula>
    </cfRule>
  </conditionalFormatting>
  <conditionalFormatting sqref="B11:L24">
    <cfRule type="expression" dxfId="1" priority="6">
      <formula>$L11=""</formula>
    </cfRule>
    <cfRule type="expression" dxfId="0" priority="7">
      <formula>$L11&lt;TODAY()</formula>
    </cfRule>
  </conditionalFormatting>
  <dataValidations count="4">
    <dataValidation type="list" showInputMessage="1" showErrorMessage="1" sqref="F11:G24">
      <formula1>$P$11:$P$15</formula1>
      <formula2>0</formula2>
    </dataValidation>
    <dataValidation type="list" showInputMessage="1" showErrorMessage="1" sqref="C12:C24">
      <formula1>$N$11:$N$19</formula1>
      <formula2>0</formula2>
    </dataValidation>
    <dataValidation type="list" showInputMessage="1" showErrorMessage="1" sqref="J11:J24">
      <formula1>$R$11:$R$19</formula1>
      <formula2>0</formula2>
    </dataValidation>
    <dataValidation type="list" allowBlank="1" showInputMessage="1" showErrorMessage="1" sqref="C11">
      <formula1>$N$11:$N$21</formula1>
      <formula2>0</formula2>
    </dataValidation>
  </dataValidations>
  <pageMargins left="0.4" right="0.4" top="0.4" bottom="0.4" header="0.511811023622047" footer="0.511811023622047"/>
  <pageSetup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DB9CA"/>
    <pageSetUpPr fitToPage="1"/>
  </sheetPr>
  <dimension ref="B1:H13"/>
  <sheetViews>
    <sheetView showGridLines="0" zoomScaleNormal="100" workbookViewId="0">
      <selection activeCell="C6" sqref="C6"/>
    </sheetView>
  </sheetViews>
  <sheetFormatPr baseColWidth="10" defaultColWidth="11" defaultRowHeight="15.75" x14ac:dyDescent="0.25"/>
  <cols>
    <col min="1" max="1" width="3.375" customWidth="1"/>
    <col min="2" max="2" width="5.875" customWidth="1"/>
    <col min="3" max="8" width="7.5" customWidth="1"/>
  </cols>
  <sheetData>
    <row r="1" spans="2:8" s="7" customFormat="1" ht="42" customHeight="1" x14ac:dyDescent="0.25">
      <c r="B1" s="44" t="s">
        <v>90</v>
      </c>
    </row>
    <row r="2" spans="2:8" ht="45" customHeight="1" x14ac:dyDescent="0.25">
      <c r="B2" s="2" t="s">
        <v>91</v>
      </c>
      <c r="C2" s="45">
        <v>5</v>
      </c>
      <c r="D2" s="46">
        <v>5</v>
      </c>
      <c r="E2" s="47">
        <v>10</v>
      </c>
      <c r="F2" s="48">
        <v>15</v>
      </c>
      <c r="G2" s="48">
        <v>20</v>
      </c>
      <c r="H2" s="49">
        <v>25</v>
      </c>
    </row>
    <row r="3" spans="2:8" ht="45" customHeight="1" x14ac:dyDescent="0.25">
      <c r="B3" s="2"/>
      <c r="C3" s="50">
        <v>4</v>
      </c>
      <c r="D3" s="51">
        <v>4</v>
      </c>
      <c r="E3" s="52">
        <v>8</v>
      </c>
      <c r="F3" s="52">
        <v>12</v>
      </c>
      <c r="G3" s="53">
        <v>16</v>
      </c>
      <c r="H3" s="54">
        <v>20</v>
      </c>
    </row>
    <row r="4" spans="2:8" ht="45" customHeight="1" x14ac:dyDescent="0.25">
      <c r="B4" s="2"/>
      <c r="C4" s="50">
        <v>3</v>
      </c>
      <c r="D4" s="51">
        <v>3</v>
      </c>
      <c r="E4" s="52">
        <v>6</v>
      </c>
      <c r="F4" s="52">
        <v>9</v>
      </c>
      <c r="G4" s="52">
        <v>12</v>
      </c>
      <c r="H4" s="54">
        <v>15</v>
      </c>
    </row>
    <row r="5" spans="2:8" ht="45" customHeight="1" x14ac:dyDescent="0.25">
      <c r="B5" s="2"/>
      <c r="C5" s="50">
        <v>2</v>
      </c>
      <c r="D5" s="51">
        <v>2</v>
      </c>
      <c r="E5" s="55">
        <v>4</v>
      </c>
      <c r="F5" s="52">
        <v>6</v>
      </c>
      <c r="G5" s="52">
        <v>8</v>
      </c>
      <c r="H5" s="56">
        <v>10</v>
      </c>
    </row>
    <row r="6" spans="2:8" ht="45" customHeight="1" x14ac:dyDescent="0.25">
      <c r="B6" s="2"/>
      <c r="C6" s="57">
        <v>1</v>
      </c>
      <c r="D6" s="58">
        <v>1</v>
      </c>
      <c r="E6" s="59">
        <v>2</v>
      </c>
      <c r="F6" s="59">
        <v>3</v>
      </c>
      <c r="G6" s="59">
        <v>4</v>
      </c>
      <c r="H6" s="60">
        <v>5</v>
      </c>
    </row>
    <row r="7" spans="2:8" ht="45" customHeight="1" x14ac:dyDescent="0.25">
      <c r="C7" s="61"/>
      <c r="D7" s="62">
        <v>1</v>
      </c>
      <c r="E7" s="63">
        <v>2</v>
      </c>
      <c r="F7" s="63">
        <v>3</v>
      </c>
      <c r="G7" s="63">
        <v>4</v>
      </c>
      <c r="H7" s="64">
        <v>5</v>
      </c>
    </row>
    <row r="8" spans="2:8" ht="30.75" customHeight="1" x14ac:dyDescent="0.25">
      <c r="D8" s="1" t="s">
        <v>92</v>
      </c>
      <c r="E8" s="1"/>
      <c r="F8" s="1"/>
      <c r="G8" s="1"/>
      <c r="H8" s="1"/>
    </row>
    <row r="9" spans="2:8" ht="45" customHeight="1" x14ac:dyDescent="0.25"/>
    <row r="10" spans="2:8" ht="45" customHeight="1" x14ac:dyDescent="0.25"/>
    <row r="11" spans="2:8" ht="45" customHeight="1" x14ac:dyDescent="0.25"/>
    <row r="13" spans="2:8" ht="49.5" customHeight="1" x14ac:dyDescent="0.25"/>
  </sheetData>
  <mergeCells count="2">
    <mergeCell ref="B2:B6"/>
    <mergeCell ref="D8:H8"/>
  </mergeCells>
  <pageMargins left="0.4" right="0.4" top="0.4" bottom="0.4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Registro ágil de riesgos</vt:lpstr>
      <vt:lpstr>Escala</vt:lpstr>
      <vt:lpstr>'Registro ágil de riesgos'!Área_de_impresión</vt:lpstr>
      <vt:lpstr>REASSESSMENT_DATE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dc:description/>
  <cp:lastModifiedBy>Ospi .</cp:lastModifiedBy>
  <cp:revision>0</cp:revision>
  <dcterms:created xsi:type="dcterms:W3CDTF">2015-10-16T18:32:25Z</dcterms:created>
  <dcterms:modified xsi:type="dcterms:W3CDTF">2026-05-19T06:34:24Z</dcterms:modified>
  <dc:language>en-US</dc:language>
</cp:coreProperties>
</file>